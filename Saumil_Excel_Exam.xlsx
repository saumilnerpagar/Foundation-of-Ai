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27DB431-0B7E-40F2-8DD5-175EE6449DB7}" xr6:coauthVersionLast="47" xr6:coauthVersionMax="47" xr10:uidLastSave="{00000000-0000-0000-0000-000000000000}"/>
  <bookViews>
    <workbookView xWindow="-120" yWindow="-120" windowWidth="29040" windowHeight="15720" activeTab="1" xr2:uid="{05C100C4-5FD9-4433-8D03-9F7D31F2FA7D}"/>
  </bookViews>
  <sheets>
    <sheet name="Pivot table" sheetId="3" r:id="rId1"/>
    <sheet name="Section D" sheetId="1" r:id="rId2"/>
  </sheets>
  <definedNames>
    <definedName name="_xlnm._FilterDatabase" localSheetId="1" hidden="1">'Section D'!$E$2:$E$9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<sst xmlns="http://schemas.openxmlformats.org/spreadsheetml/2006/main" count="32" uniqueCount="24">
  <si>
    <t>Student_Id</t>
  </si>
  <si>
    <t>Name</t>
  </si>
  <si>
    <t xml:space="preserve">Subject </t>
  </si>
  <si>
    <t>Marks</t>
  </si>
  <si>
    <t>Attendance</t>
  </si>
  <si>
    <t>Amit</t>
  </si>
  <si>
    <t xml:space="preserve">Neha </t>
  </si>
  <si>
    <t>Raj</t>
  </si>
  <si>
    <t>Priya</t>
  </si>
  <si>
    <t>Karan</t>
  </si>
  <si>
    <t>Anjali</t>
  </si>
  <si>
    <t>Ravi</t>
  </si>
  <si>
    <t>Sneha</t>
  </si>
  <si>
    <t>Math</t>
  </si>
  <si>
    <t>Science</t>
  </si>
  <si>
    <t>English</t>
  </si>
  <si>
    <t>Result</t>
  </si>
  <si>
    <t>Grade</t>
  </si>
  <si>
    <t>Average</t>
  </si>
  <si>
    <t>Max</t>
  </si>
  <si>
    <t>Min</t>
  </si>
  <si>
    <t>Row Labels</t>
  </si>
  <si>
    <t>Grand Total</t>
  </si>
  <si>
    <t>Sum of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</si>
</sst>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'Section D'!$D$1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'Section D'!$C$2:$C$9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'Section D'!$D$2:$D$9</c:f>
              <c:numCache>
                <c:formatCode>General</c:formatCode>
                <c:ptCount val="5"/>
                <c:pt idx="0">
                  <c:v>78</c:v>
                </c:pt>
                <c:pt idx="1">
                  <c:v>92</c:v>
                </c:pt>
                <c:pt idx="2">
                  <c:v>88</c:v>
                </c:pt>
                <c:pt idx="3">
                  <c:v>80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8-4701-A03C-4E1434337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6528"/>
        <c:axId val="21344128"/>
      </c:barChart>
      <c:catAx>
        <c:axId val="213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128"/>
        <c:crosses val="autoZero"/>
        <c:auto val="1"/>
        <c:lblAlgn val="ctr"/>
        <c:lblOffset val="100"/>
        <c:noMultiLvlLbl val="0"/>
      </c:catAx>
      <c:valAx>
        <c:axId val="213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11</xdr:row>
      <xdr:rowOff>52387</xdr:rowOff>
    </xdr:from>
    <xdr:to>
      <xdr:col>17</xdr:col>
      <xdr:colOff>95250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37BEF-147F-5D3C-D736-F688B75C4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44.619708101854" createdVersion="8" refreshedVersion="8" minRefreshableVersion="3" recordCount="8" xr:uid="{B0DC5A89-2DBB-4C98-B28F-A73404B1D06D}">
  <cacheSource type="worksheet">
    <worksheetSource ref="A1:H9" sheet="Section D"/>
  </cacheSource>
  <cacheFields count="8">
    <cacheField name="Student_Id" numFmtId="0">
      <sharedItems containsSemiMixedTypes="0" containsString="0" containsNumber="1" containsInteger="1" minValue="101" maxValue="108"/>
    </cacheField>
    <cacheField name="Name" numFmtId="0">
      <sharedItems/>
    </cacheField>
    <cacheField name="Subject " numFmtId="0">
      <sharedItems count="3">
        <s v="Math"/>
        <s v="Science"/>
        <s v="English"/>
      </sharedItems>
    </cacheField>
    <cacheField name="Marks" numFmtId="0">
      <sharedItems containsSemiMixedTypes="0" containsString="0" containsNumber="1" containsInteger="1" minValue="55" maxValue="95"/>
    </cacheField>
    <cacheField name="Attendance" numFmtId="0">
      <sharedItems containsSemiMixedTypes="0" containsString="0" containsNumber="1" containsInteger="1" minValue="60" maxValue="95"/>
    </cacheField>
    <cacheField name="Result" numFmtId="0">
      <sharedItems/>
    </cacheField>
    <cacheField name="Grade" numFmtId="0">
      <sharedItems/>
    </cacheField>
    <cacheField name="Average" numFmtId="0">
      <sharedItems containsSemiMixedTypes="0" containsString="0" containsNumber="1" minValue="75.5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1"/>
    <s v="Amit"/>
    <x v="0"/>
    <n v="78"/>
    <n v="85"/>
    <s v="Pass"/>
    <s v="B"/>
    <n v="78.125"/>
  </r>
  <r>
    <n v="102"/>
    <s v="Neha "/>
    <x v="1"/>
    <n v="92"/>
    <n v="90"/>
    <s v="Pass"/>
    <s v="A"/>
    <n v="78.142857142857139"/>
  </r>
  <r>
    <n v="103"/>
    <s v="Raj"/>
    <x v="0"/>
    <n v="65"/>
    <n v="70"/>
    <s v="Pass"/>
    <s v="C"/>
    <n v="75.833333333333329"/>
  </r>
  <r>
    <n v="104"/>
    <s v="Priya"/>
    <x v="2"/>
    <n v="88"/>
    <n v="95"/>
    <s v="Pass"/>
    <s v="B"/>
    <n v="78"/>
  </r>
  <r>
    <n v="105"/>
    <s v="Karan"/>
    <x v="1"/>
    <n v="55"/>
    <n v="60"/>
    <s v="Fail"/>
    <s v="C"/>
    <n v="75.5"/>
  </r>
  <r>
    <n v="106"/>
    <s v="Anjali"/>
    <x v="0"/>
    <n v="80"/>
    <n v="88"/>
    <s v="Pass"/>
    <s v="B"/>
    <n v="82.333333333333329"/>
  </r>
  <r>
    <n v="107"/>
    <s v="Ravi"/>
    <x v="2"/>
    <n v="72"/>
    <n v="75"/>
    <s v="Pass"/>
    <s v="B"/>
    <n v="83.5"/>
  </r>
  <r>
    <n v="108"/>
    <s v="Sneha"/>
    <x v="1"/>
    <n v="95"/>
    <n v="92"/>
    <s v="Pass"/>
    <s v="A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C1AF7-A450-4B01-9C82-00E95069094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C462-5EB9-49A1-9169-7CA3D717A0A1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" bestFit="1" customWidth="1"/>
  </cols>
  <sheetData>
    <row r="3" spans="1:2" x14ac:dyDescent="0.25">
      <c r="A3" s="3" t="s">
        <v>21</v>
      </c>
      <c r="B3" t="s">
        <v>23</v>
      </c>
    </row>
    <row r="4" spans="1:2" x14ac:dyDescent="0.25">
      <c r="A4" s="4" t="s">
        <v>15</v>
      </c>
      <c r="B4" s="5">
        <v>161.5</v>
      </c>
    </row>
    <row r="5" spans="1:2" x14ac:dyDescent="0.25">
      <c r="A5" s="4" t="s">
        <v>13</v>
      </c>
      <c r="B5" s="5">
        <v>236.29166666666663</v>
      </c>
    </row>
    <row r="6" spans="1:2" x14ac:dyDescent="0.25">
      <c r="A6" s="4" t="s">
        <v>14</v>
      </c>
      <c r="B6" s="5">
        <v>248.64285714285714</v>
      </c>
    </row>
    <row r="7" spans="1:2" x14ac:dyDescent="0.25">
      <c r="A7" s="4" t="s">
        <v>22</v>
      </c>
      <c r="B7" s="5">
        <v>646.43452380952374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4324-2C5B-4868-8102-47E035568307}">
  <sheetPr filterMode="1"/>
  <dimension ref="A1:M9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13.42578125" customWidth="1"/>
    <col min="5" max="5" width="13.140625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/>
      <c r="L1" s="2"/>
      <c r="M1" s="2"/>
    </row>
    <row r="2" spans="1:13" x14ac:dyDescent="0.25">
      <c r="A2">
        <v>101</v>
      </c>
      <c r="B2" t="s">
        <v>5</v>
      </c>
      <c r="C2" t="s">
        <v>13</v>
      </c>
      <c r="D2">
        <v>78</v>
      </c>
      <c r="E2">
        <v>85</v>
      </c>
      <c r="F2" t="str">
        <f>IF(D2&gt;60,"Pass","Fail")</f>
        <v>Pass</v>
      </c>
      <c r="G2" t="str">
        <f>IF(D2&gt;90,"A",IF(D2&gt;70,"B",IF(D2&gt;50,"C","D")))</f>
        <v>B</v>
      </c>
      <c r="H2">
        <f>AVERAGE(D2:D9)</f>
        <v>78.125</v>
      </c>
      <c r="I2">
        <f>MAX(D2:D9)</f>
        <v>95</v>
      </c>
      <c r="J2">
        <f>MIN(D2:D9)</f>
        <v>55</v>
      </c>
    </row>
    <row r="3" spans="1:13" x14ac:dyDescent="0.25">
      <c r="A3">
        <v>102</v>
      </c>
      <c r="B3" t="s">
        <v>6</v>
      </c>
      <c r="C3" t="s">
        <v>14</v>
      </c>
      <c r="D3">
        <v>92</v>
      </c>
      <c r="E3">
        <v>90</v>
      </c>
      <c r="F3" t="str">
        <f t="shared" ref="F3:F9" si="0">IF(D3&gt;60,"Pass","Fail")</f>
        <v>Pass</v>
      </c>
      <c r="G3" t="str">
        <f t="shared" ref="G3:G9" si="1">IF(D3&gt;90,"A",IF(D3&gt;70,"B",IF(D3&gt;50,"C","D")))</f>
        <v>A</v>
      </c>
      <c r="H3">
        <f t="shared" ref="H3:H9" si="2">AVERAGE(D3:D10)</f>
        <v>78.142857142857139</v>
      </c>
    </row>
    <row r="4" spans="1:13" hidden="1" x14ac:dyDescent="0.25">
      <c r="A4">
        <v>103</v>
      </c>
      <c r="B4" t="s">
        <v>7</v>
      </c>
      <c r="C4" t="s">
        <v>13</v>
      </c>
      <c r="D4">
        <v>65</v>
      </c>
      <c r="E4">
        <v>70</v>
      </c>
      <c r="F4" t="str">
        <f t="shared" si="0"/>
        <v>Pass</v>
      </c>
      <c r="G4" t="str">
        <f t="shared" si="1"/>
        <v>C</v>
      </c>
      <c r="H4">
        <f t="shared" si="2"/>
        <v>75.833333333333329</v>
      </c>
    </row>
    <row r="5" spans="1:13" x14ac:dyDescent="0.25">
      <c r="A5">
        <v>104</v>
      </c>
      <c r="B5" t="s">
        <v>8</v>
      </c>
      <c r="C5" t="s">
        <v>15</v>
      </c>
      <c r="D5">
        <v>88</v>
      </c>
      <c r="E5">
        <v>95</v>
      </c>
      <c r="F5" t="str">
        <f t="shared" si="0"/>
        <v>Pass</v>
      </c>
      <c r="G5" t="str">
        <f t="shared" si="1"/>
        <v>B</v>
      </c>
      <c r="H5">
        <f t="shared" si="2"/>
        <v>78</v>
      </c>
    </row>
    <row r="6" spans="1:13" hidden="1" x14ac:dyDescent="0.25">
      <c r="A6">
        <v>105</v>
      </c>
      <c r="B6" t="s">
        <v>9</v>
      </c>
      <c r="C6" t="s">
        <v>14</v>
      </c>
      <c r="D6">
        <v>55</v>
      </c>
      <c r="E6">
        <v>60</v>
      </c>
      <c r="F6" t="str">
        <f t="shared" si="0"/>
        <v>Fail</v>
      </c>
      <c r="G6" t="str">
        <f t="shared" si="1"/>
        <v>C</v>
      </c>
      <c r="H6">
        <f t="shared" si="2"/>
        <v>75.5</v>
      </c>
    </row>
    <row r="7" spans="1:13" x14ac:dyDescent="0.25">
      <c r="A7">
        <v>106</v>
      </c>
      <c r="B7" t="s">
        <v>10</v>
      </c>
      <c r="C7" t="s">
        <v>13</v>
      </c>
      <c r="D7">
        <v>80</v>
      </c>
      <c r="E7">
        <v>88</v>
      </c>
      <c r="F7" t="str">
        <f t="shared" si="0"/>
        <v>Pass</v>
      </c>
      <c r="G7" t="str">
        <f t="shared" si="1"/>
        <v>B</v>
      </c>
      <c r="H7">
        <f t="shared" si="2"/>
        <v>82.333333333333329</v>
      </c>
    </row>
    <row r="8" spans="1:13" hidden="1" x14ac:dyDescent="0.25">
      <c r="A8">
        <v>107</v>
      </c>
      <c r="B8" t="s">
        <v>11</v>
      </c>
      <c r="C8" t="s">
        <v>15</v>
      </c>
      <c r="D8">
        <v>72</v>
      </c>
      <c r="E8">
        <v>75</v>
      </c>
      <c r="F8" t="str">
        <f t="shared" si="0"/>
        <v>Pass</v>
      </c>
      <c r="G8" t="str">
        <f t="shared" si="1"/>
        <v>B</v>
      </c>
      <c r="H8">
        <f t="shared" si="2"/>
        <v>83.5</v>
      </c>
    </row>
    <row r="9" spans="1:13" x14ac:dyDescent="0.25">
      <c r="A9">
        <v>108</v>
      </c>
      <c r="B9" t="s">
        <v>12</v>
      </c>
      <c r="C9" t="s">
        <v>14</v>
      </c>
      <c r="D9">
        <v>95</v>
      </c>
      <c r="E9">
        <v>92</v>
      </c>
      <c r="F9" t="str">
        <f t="shared" si="0"/>
        <v>Pass</v>
      </c>
      <c r="G9" t="str">
        <f t="shared" si="1"/>
        <v>A</v>
      </c>
      <c r="H9">
        <f t="shared" si="2"/>
        <v>95</v>
      </c>
    </row>
  </sheetData>
  <autoFilter ref="E2:E9" xr:uid="{2E474324-2C5B-4868-8102-47E035568307}">
    <filterColumn colId="0">
      <customFilters>
        <customFilter operator="greaterThan" val="80"/>
      </customFilters>
    </filterColumn>
  </autoFilter>
  <conditionalFormatting sqref="D1:D9">
    <cfRule type="cellIs" dxfId="1" priority="1" operator="lessThan">
      <formula>60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Section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2026-05-02T09:04:15Z</dcterms:created>
  <dcterms:modified xsi:type="dcterms:W3CDTF">2026-05-02T09:37:31Z</dcterms:modified>
</cp:coreProperties>
</file>